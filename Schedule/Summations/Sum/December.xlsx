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ndlong\Desktop\"/>
    </mc:Choice>
  </mc:AlternateContent>
  <xr:revisionPtr revIDLastSave="0" documentId="13_ncr:1_{A55D160D-FCE1-45B6-B147-29171086A0CA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12月" sheetId="2" r:id="rId1"/>
    <sheet name="Sheet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ColumnTitleRegion1..J16.1">'[1]1月'!$C$1</definedName>
    <definedName name="ColumnTitleRegion1..J16.10">'[2]10月'!$C$1</definedName>
    <definedName name="ColumnTitleRegion1..J16.11">'[3]11月'!$C$1</definedName>
    <definedName name="ColumnTitleRegion1..J16.12">'12月'!$C$1</definedName>
    <definedName name="ColumnTitleRegion1..J16.2">'[4]2月'!$C$1</definedName>
    <definedName name="ColumnTitleRegion1..J16.3">'[5]3月'!$C$1</definedName>
    <definedName name="ColumnTitleRegion1..J16.4">'[6]4月'!$C$1</definedName>
    <definedName name="ColumnTitleRegion1..J16.5">'[7]5月'!$C$1</definedName>
    <definedName name="ColumnTitleRegion1..J16.6">'[8]6月'!$C$1</definedName>
    <definedName name="ColumnTitleRegion1..J16.7">'[9]7月'!$C$1</definedName>
    <definedName name="ColumnTitleRegion1..J16.8">'[10]8月'!$C$1</definedName>
    <definedName name="ColumnTitleRegion1..J16.9">'[11]9月'!$C$1</definedName>
    <definedName name="ColumnTitleRegion2..E20.1">'[1]1月'!$C$1</definedName>
    <definedName name="ColumnTitleRegion2..E20.10">'[2]10月'!$C$1</definedName>
    <definedName name="ColumnTitleRegion2..E20.11">'[3]11月'!$C$1</definedName>
    <definedName name="ColumnTitleRegion2..E20.12">'12月'!$C$1</definedName>
    <definedName name="ColumnTitleRegion2..E20.2">'[4]2月'!$C$1</definedName>
    <definedName name="ColumnTitleRegion2..E20.3">'[5]3月'!$C$1</definedName>
    <definedName name="ColumnTitleRegion2..E20.4">'[6]4月'!$C$1</definedName>
    <definedName name="ColumnTitleRegion2..E20.5">'[7]5月'!$C$1</definedName>
    <definedName name="ColumnTitleRegion2..E20.6">'[8]6月'!$C$1</definedName>
    <definedName name="ColumnTitleRegion2..E20.7">'[9]7月'!$C$1</definedName>
    <definedName name="ColumnTitleRegion2..E20.8">'[10]8月'!$C$1</definedName>
    <definedName name="ColumnTitleRegion2..E20.9">'[11]9月'!$C$1</definedName>
    <definedName name="WeekStartValue">IF(周开始日期="周一",2,1)</definedName>
    <definedName name="日历年">'[1]1月'!$B$2</definedName>
    <definedName name="日历日" localSheetId="0">'12月'!A1048576</definedName>
    <definedName name="星期日期和周">{0,1,2,3,4,5,6} + {0;1;2;3;4;5}*7</definedName>
    <definedName name="周开始日期">'[1]1月'!$C$1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B2" i="2"/>
  <c r="C3" i="2" a="1"/>
  <c r="C3" i="2" s="1"/>
  <c r="C4" i="2" s="1"/>
  <c r="C6" i="2" a="1"/>
  <c r="D6" i="2" s="1"/>
  <c r="D7" i="2"/>
  <c r="C9" i="2" a="1"/>
  <c r="E9" i="2" s="1"/>
  <c r="E10" i="2" s="1"/>
  <c r="C9" i="2"/>
  <c r="C10" i="2" s="1"/>
  <c r="D9" i="2"/>
  <c r="D10" i="2" s="1"/>
  <c r="C12" i="2" a="1"/>
  <c r="F12" i="2" s="1"/>
  <c r="F13" i="2" s="1"/>
  <c r="C15" i="2" a="1"/>
  <c r="G15" i="2" s="1"/>
  <c r="G16" i="2" s="1"/>
  <c r="F15" i="2"/>
  <c r="F16" i="2" s="1"/>
  <c r="C19" i="2" a="1"/>
  <c r="D19" i="2" s="1"/>
  <c r="D20" i="2" s="1"/>
  <c r="E15" i="2" l="1"/>
  <c r="E16" i="2" s="1"/>
  <c r="C6" i="2"/>
  <c r="C7" i="2" s="1"/>
  <c r="H12" i="2"/>
  <c r="H13" i="2" s="1"/>
  <c r="E12" i="2"/>
  <c r="E13" i="2" s="1"/>
  <c r="D12" i="2"/>
  <c r="D13" i="2" s="1"/>
  <c r="C19" i="2"/>
  <c r="C20" i="2" s="1"/>
  <c r="C12" i="2"/>
  <c r="C13" i="2" s="1"/>
  <c r="I12" i="2"/>
  <c r="I13" i="2" s="1"/>
  <c r="G12" i="2"/>
  <c r="G13" i="2" s="1"/>
  <c r="I3" i="2"/>
  <c r="D15" i="2"/>
  <c r="D16" i="2" s="1"/>
  <c r="I6" i="2"/>
  <c r="I7" i="2" s="1"/>
  <c r="H3" i="2"/>
  <c r="C15" i="2"/>
  <c r="C16" i="2" s="1"/>
  <c r="I9" i="2"/>
  <c r="I10" i="2" s="1"/>
  <c r="H6" i="2"/>
  <c r="H7" i="2" s="1"/>
  <c r="G3" i="2"/>
  <c r="F3" i="2"/>
  <c r="G6" i="2"/>
  <c r="G7" i="2" s="1"/>
  <c r="I15" i="2"/>
  <c r="I16" i="2" s="1"/>
  <c r="F6" i="2"/>
  <c r="F7" i="2" s="1"/>
  <c r="H9" i="2"/>
  <c r="H10" i="2" s="1"/>
  <c r="H15" i="2"/>
  <c r="H16" i="2" s="1"/>
  <c r="E6" i="2"/>
  <c r="E7" i="2" s="1"/>
  <c r="D3" i="2"/>
  <c r="G9" i="2"/>
  <c r="G10" i="2" s="1"/>
  <c r="E3" i="2"/>
  <c r="F9" i="2"/>
  <c r="F10" i="2" s="1"/>
  <c r="H1" i="2" l="1"/>
  <c r="H4" i="2"/>
  <c r="E1" i="2"/>
  <c r="E4" i="2"/>
  <c r="D1" i="2"/>
  <c r="D4" i="2"/>
  <c r="G1" i="2"/>
  <c r="G4" i="2"/>
  <c r="F1" i="2"/>
  <c r="F4" i="2"/>
  <c r="I1" i="2"/>
  <c r="I4" i="2"/>
</calcChain>
</file>

<file path=xl/sharedStrings.xml><?xml version="1.0" encoding="utf-8"?>
<sst xmlns="http://schemas.openxmlformats.org/spreadsheetml/2006/main" count="2" uniqueCount="2">
  <si>
    <t>备注</t>
  </si>
  <si>
    <t>12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</si>
</sst>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9" x14ac:knownFonts="1">
    <font>
      <sz val="11"/>
      <color theme="1"/>
      <name val="等线"/>
      <family val="2"/>
      <scheme val="minor"/>
    </font>
    <font>
      <sz val="11"/>
      <color theme="4" tint="-0.499984740745262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4" tint="-0.24994659260841701"/>
      <name val="Microsoft YaHei UI"/>
      <family val="2"/>
      <charset val="134"/>
    </font>
    <font>
      <b/>
      <sz val="13"/>
      <color theme="4" tint="-0.499984740745262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b/>
      <sz val="25"/>
      <color theme="0" tint="-0.499984740745262"/>
      <name val="Microsoft YaHei UI"/>
      <family val="2"/>
      <charset val="134"/>
    </font>
    <font>
      <b/>
      <sz val="12"/>
      <color theme="4" tint="-0.499984740745262"/>
      <name val="Microsoft YaHei UI"/>
      <family val="2"/>
      <charset val="134"/>
    </font>
    <font>
      <b/>
      <sz val="36"/>
      <color theme="4" tint="-0.24994659260841701"/>
      <name val="Microsoft YaHei U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/>
      <bottom style="thin">
        <color theme="0" tint="-0.14993743705557422"/>
      </bottom>
      <diagonal/>
    </border>
  </borders>
  <cellStyleXfs count="10">
    <xf numFmtId="0" fontId="0" fillId="0" borderId="0"/>
    <xf numFmtId="0" fontId="1" fillId="0" borderId="0">
      <alignment horizontal="left" vertical="center" wrapText="1" indent="1"/>
    </xf>
    <xf numFmtId="0" fontId="1" fillId="0" borderId="1">
      <alignment horizontal="left" vertical="center" wrapText="1"/>
    </xf>
    <xf numFmtId="0" fontId="1" fillId="0" borderId="0" applyFill="0" applyBorder="0">
      <alignment horizontal="right"/>
    </xf>
    <xf numFmtId="176" fontId="3" fillId="0" borderId="0" applyFill="0" applyBorder="0">
      <alignment horizontal="right"/>
    </xf>
    <xf numFmtId="0" fontId="3" fillId="2" borderId="0" applyNumberFormat="0" applyFont="0" applyBorder="0" applyAlignment="0">
      <alignment horizontal="left" vertical="center" indent="1"/>
    </xf>
    <xf numFmtId="0" fontId="5" fillId="0" borderId="2">
      <alignment horizontal="left" indent="1"/>
    </xf>
    <xf numFmtId="0" fontId="6" fillId="0" borderId="0">
      <alignment horizontal="left" vertical="top" indent="1"/>
    </xf>
    <xf numFmtId="0" fontId="7" fillId="0" borderId="0">
      <alignment horizontal="right"/>
    </xf>
    <xf numFmtId="0" fontId="8" fillId="0" borderId="0">
      <alignment horizontal="left"/>
    </xf>
  </cellStyleXfs>
  <cellXfs count="15">
    <xf numFmtId="0" fontId="0" fillId="0" borderId="0" xfId="0"/>
    <xf numFmtId="0" fontId="1" fillId="0" borderId="0" xfId="1">
      <alignment horizontal="left" vertical="center" wrapText="1" indent="1"/>
    </xf>
    <xf numFmtId="0" fontId="1" fillId="0" borderId="1" xfId="2">
      <alignment horizontal="left" vertical="center" wrapText="1"/>
    </xf>
    <xf numFmtId="0" fontId="1" fillId="0" borderId="0" xfId="3">
      <alignment horizontal="right"/>
    </xf>
    <xf numFmtId="0" fontId="1" fillId="2" borderId="0" xfId="3" applyFill="1">
      <alignment horizontal="right"/>
    </xf>
    <xf numFmtId="176" fontId="4" fillId="0" borderId="0" xfId="4" applyFont="1">
      <alignment horizontal="right"/>
    </xf>
    <xf numFmtId="176" fontId="4" fillId="2" borderId="0" xfId="4" applyFont="1" applyFill="1">
      <alignment horizontal="right"/>
    </xf>
    <xf numFmtId="0" fontId="1" fillId="2" borderId="0" xfId="5" applyFont="1" applyAlignment="1">
      <alignment horizontal="left" vertical="center" wrapText="1" indent="1"/>
    </xf>
    <xf numFmtId="0" fontId="5" fillId="0" borderId="2" xfId="6">
      <alignment horizontal="left" indent="1"/>
    </xf>
    <xf numFmtId="0" fontId="1" fillId="2" borderId="3" xfId="3" applyFill="1" applyBorder="1">
      <alignment horizontal="right"/>
    </xf>
    <xf numFmtId="0" fontId="1" fillId="0" borderId="3" xfId="3" applyBorder="1">
      <alignment horizontal="right"/>
    </xf>
    <xf numFmtId="0" fontId="1" fillId="2" borderId="0" xfId="5" applyFont="1" applyAlignment="1">
      <alignment horizontal="left" vertical="center" wrapText="1" indent="1"/>
    </xf>
    <xf numFmtId="0" fontId="6" fillId="0" borderId="0" xfId="7">
      <alignment horizontal="left" vertical="top" indent="1"/>
    </xf>
    <xf numFmtId="0" fontId="7" fillId="0" borderId="0" xfId="8">
      <alignment horizontal="right"/>
    </xf>
    <xf numFmtId="0" fontId="8" fillId="0" borderId="0" xfId="9">
      <alignment horizontal="left"/>
    </xf>
  </cellXfs>
  <cellStyles count="10">
    <cellStyle name="备注" xfId="6" xr:uid="{6896B6AD-19CB-4D7B-9047-9D1C75D741DF}"/>
    <cellStyle name="标题 1 2" xfId="7" xr:uid="{FF842C10-58D7-4793-A2C8-E0706F4DA5C1}"/>
    <cellStyle name="标题 2 2" xfId="8" xr:uid="{0E8F5710-2D49-4E55-A2D1-E496298B60A4}"/>
    <cellStyle name="标题 4 2" xfId="3" xr:uid="{9BE558BA-D2F6-4653-8BE6-4E8B244431B3}"/>
    <cellStyle name="标题 5" xfId="9" xr:uid="{1F731412-6E62-4C87-93C5-68EE169F2FF7}"/>
    <cellStyle name="常规" xfId="0" builtinId="0"/>
    <cellStyle name="常规 2" xfId="1" xr:uid="{EB9D093F-207B-4E20-B74B-BE0E5DC9596B}"/>
    <cellStyle name="解释性文本 2" xfId="2" xr:uid="{543BF6B7-1E11-4B5E-8937-FC8ADEE2C210}"/>
    <cellStyle name="日" xfId="4" xr:uid="{437DB080-63D8-4B0F-A124-4DAF27EE2E3E}"/>
    <cellStyle name="填充" xfId="5" xr:uid="{86E29F58-CDC7-4503-95EE-6AAF7FBCAF69}"/>
  </cellStyles>
  <dxfs count="4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anuary.xlsx" TargetMode="External"/><Relationship Id="rId1" Type="http://schemas.openxmlformats.org/officeDocument/2006/relationships/externalLinkPath" Target="Janu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October.xlsx" TargetMode="External"/><Relationship Id="rId1" Type="http://schemas.openxmlformats.org/officeDocument/2006/relationships/externalLinkPath" Target="Octob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November.xlsx" TargetMode="External"/><Relationship Id="rId1" Type="http://schemas.openxmlformats.org/officeDocument/2006/relationships/externalLinkPath" Target="Novemb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February.xlsx" TargetMode="External"/><Relationship Id="rId1" Type="http://schemas.openxmlformats.org/officeDocument/2006/relationships/externalLinkPath" Target="Februar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rch.xlsx" TargetMode="External"/><Relationship Id="rId1" Type="http://schemas.openxmlformats.org/officeDocument/2006/relationships/externalLinkPath" Target="Marc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pril.xlsx" TargetMode="External"/><Relationship Id="rId1" Type="http://schemas.openxmlformats.org/officeDocument/2006/relationships/externalLinkPath" Target="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May.xlsx" TargetMode="External"/><Relationship Id="rId1" Type="http://schemas.openxmlformats.org/officeDocument/2006/relationships/externalLinkPath" Target="Ma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ne.xlsx" TargetMode="External"/><Relationship Id="rId1" Type="http://schemas.openxmlformats.org/officeDocument/2006/relationships/externalLinkPath" Target="Jun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July.xlsx" TargetMode="External"/><Relationship Id="rId1" Type="http://schemas.openxmlformats.org/officeDocument/2006/relationships/externalLinkPath" Target="Jul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August.xlsx" TargetMode="External"/><Relationship Id="rId1" Type="http://schemas.openxmlformats.org/officeDocument/2006/relationships/externalLinkPath" Target="Augus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ndlong\Desktop\September.xlsx" TargetMode="External"/><Relationship Id="rId1" Type="http://schemas.openxmlformats.org/officeDocument/2006/relationships/externalLinkPath" Target="Sept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1月"/>
    </sheetNames>
    <sheetDataSet>
      <sheetData sheetId="0" refreshError="1"/>
      <sheetData sheetId="1">
        <row r="1">
          <cell r="C1" t="str">
            <v>一</v>
          </cell>
        </row>
        <row r="2">
          <cell r="B2">
            <v>2026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0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6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7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月"/>
      <sheetName val="Sheet1"/>
    </sheetNames>
    <sheetDataSet>
      <sheetData sheetId="0">
        <row r="1">
          <cell r="C1" t="str">
            <v>一</v>
          </cell>
        </row>
      </sheetData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月"/>
      <sheetName val="Sheet1"/>
    </sheetNames>
    <sheetDataSet>
      <sheetData sheetId="0">
        <row r="1">
          <cell r="C1" t="str">
            <v>一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85CD-35BF-4A4D-9026-9D338E459960}">
  <sheetPr>
    <tabColor theme="2" tint="-0.89999084444715716"/>
    <pageSetUpPr fitToPage="1"/>
  </sheetPr>
  <dimension ref="B1:I20"/>
  <sheetViews>
    <sheetView showGridLines="0" tabSelected="1" zoomScaleNormal="100" workbookViewId="0">
      <selection activeCell="E6" sqref="E6"/>
    </sheetView>
  </sheetViews>
  <sheetFormatPr defaultColWidth="9.58203125" defaultRowHeight="15" customHeight="1" x14ac:dyDescent="0.3"/>
  <cols>
    <col min="1" max="1" width="2.5" style="1" customWidth="1"/>
    <col min="2" max="2" width="20.08203125" style="1" customWidth="1"/>
    <col min="3" max="3" width="20" style="1" customWidth="1"/>
    <col min="4" max="9" width="19.25" style="1" customWidth="1"/>
    <col min="10" max="10" width="3" style="1" customWidth="1"/>
    <col min="11" max="11" width="15" style="1" customWidth="1"/>
    <col min="12" max="12" width="13.25" style="1" customWidth="1"/>
    <col min="13" max="16384" width="9.58203125" style="1"/>
  </cols>
  <sheetData>
    <row r="1" spans="2:9" s="1" customFormat="1" ht="46.5" customHeight="1" x14ac:dyDescent="1.25">
      <c r="B1" s="14" t="s">
        <v>1</v>
      </c>
      <c r="C1" s="13" t="str">
        <f>UPPER(TEXT(周开始日期,"ddd"))</f>
        <v>一</v>
      </c>
      <c r="D1" s="13" t="str">
        <f>UPPER(TEXT(D3,"aaa"))</f>
        <v>二</v>
      </c>
      <c r="E1" s="13" t="str">
        <f>UPPER(TEXT(E3,"aaa"))</f>
        <v>三</v>
      </c>
      <c r="F1" s="13" t="str">
        <f>UPPER(TEXT(F3,"aaa"))</f>
        <v>四</v>
      </c>
      <c r="G1" s="13" t="str">
        <f>UPPER(TEXT(G3,"aaa"))</f>
        <v>五</v>
      </c>
      <c r="H1" s="13" t="str">
        <f>UPPER(TEXT(H3,"aaa"))</f>
        <v>六</v>
      </c>
      <c r="I1" s="13" t="str">
        <f>UPPER(TEXT(I3,"aaa"))</f>
        <v>日</v>
      </c>
    </row>
    <row r="2" spans="2:9" s="1" customFormat="1" ht="56.25" customHeight="1" x14ac:dyDescent="0.3">
      <c r="B2" s="12">
        <f>日历年</f>
        <v>2026</v>
      </c>
      <c r="C2" s="11"/>
      <c r="E2" s="11"/>
      <c r="G2" s="11"/>
      <c r="I2" s="11"/>
    </row>
    <row r="3" spans="2:9" s="1" customFormat="1" ht="16.5" customHeight="1" x14ac:dyDescent="0.45">
      <c r="C3" s="6">
        <f t="array" ref="C3:I3">星期日期和周+DATE(日历年,12,1)-WEEKDAY(DATE(日历年,12,1),(周开始日期="一")+1)+1</f>
        <v>46356</v>
      </c>
      <c r="D3" s="5">
        <v>46357</v>
      </c>
      <c r="E3" s="6">
        <v>46358</v>
      </c>
      <c r="F3" s="5">
        <v>46359</v>
      </c>
      <c r="G3" s="6">
        <v>46360</v>
      </c>
      <c r="H3" s="5">
        <v>46361</v>
      </c>
      <c r="I3" s="6">
        <v>46362</v>
      </c>
    </row>
    <row r="4" spans="2:9" s="1" customFormat="1" ht="15" customHeight="1" x14ac:dyDescent="0.45">
      <c r="C4" s="9" t="str">
        <f>IF(DAY(日历日)=1,CONCATENATE("第 ",WEEKNUM(日历日)," 周/第 ",日历日-DATE(YEAR(日历日),1,0)," 天"),CONCATENATE("第 ",日历日-DATE(YEAR(日历日),1,0)," 天"))</f>
        <v>第 334 天</v>
      </c>
      <c r="D4" s="10" t="str">
        <f>IF(DAY(日历日)=1,CONCATENATE("第 ",WEEKNUM(日历日)," 周/第 ",日历日-DATE(YEAR(日历日),1,0)," 天"),CONCATENATE("第 ",日历日-DATE(YEAR(日历日),1,0)," 天"))</f>
        <v>第 49 周/第 335 天</v>
      </c>
      <c r="E4" s="9" t="str">
        <f>IF(DAY(日历日)=1,CONCATENATE("第 ",WEEKNUM(日历日)," 周/第 ",日历日-DATE(YEAR(日历日),1,0)," 天"),CONCATENATE("第 ",日历日-DATE(YEAR(日历日),1,0)," 天"))</f>
        <v>第 336 天</v>
      </c>
      <c r="F4" s="10" t="str">
        <f>IF(DAY(日历日)=1,CONCATENATE("第 ",WEEKNUM(日历日)," 周/第 ",日历日-DATE(YEAR(日历日),1,0)," 天"),CONCATENATE("第 ",日历日-DATE(YEAR(日历日),1,0)," 天"))</f>
        <v>第 337 天</v>
      </c>
      <c r="G4" s="9" t="str">
        <f>IF(DAY(日历日)=1,CONCATENATE("第 ",WEEKNUM(日历日)," 周/第 ",日历日-DATE(YEAR(日历日),1,0)," 天"),CONCATENATE("第 ",日历日-DATE(YEAR(日历日),1,0)," 天"))</f>
        <v>第 338 天</v>
      </c>
      <c r="H4" s="10" t="str">
        <f>IF(DAY(日历日)=1,CONCATENATE("第 ",WEEKNUM(日历日)," 周/第 ",日历日-DATE(YEAR(日历日),1,0)," 天"),CONCATENATE("第 ",日历日-DATE(YEAR(日历日),1,0)," 天"))</f>
        <v>第 339 天</v>
      </c>
      <c r="I4" s="9" t="str">
        <f>IF(DAY(日历日)=1,CONCATENATE("第 ",WEEKNUM(日历日)," 周/第 ",日历日-DATE(YEAR(日历日),1,0)," 天"),CONCATENATE("第 ",日历日-DATE(YEAR(日历日),1,0)," 天"))</f>
        <v>第 340 天</v>
      </c>
    </row>
    <row r="5" spans="2:9" s="1" customFormat="1" ht="56.25" customHeight="1" x14ac:dyDescent="0.3">
      <c r="C5" s="11"/>
      <c r="E5" s="11"/>
      <c r="G5" s="11"/>
      <c r="I5" s="11"/>
    </row>
    <row r="6" spans="2:9" s="1" customFormat="1" ht="16.5" customHeight="1" x14ac:dyDescent="0.45">
      <c r="C6" s="6">
        <f t="array" ref="C6:I6">星期日期和周+DATE(日历年,12,1)-WEEKDAY(DATE(日历年,12,1),(周开始日期="一")+1)+8</f>
        <v>46363</v>
      </c>
      <c r="D6" s="5">
        <v>46364</v>
      </c>
      <c r="E6" s="6">
        <v>46365</v>
      </c>
      <c r="F6" s="5">
        <v>46366</v>
      </c>
      <c r="G6" s="6">
        <v>46367</v>
      </c>
      <c r="H6" s="5">
        <v>46368</v>
      </c>
      <c r="I6" s="6">
        <v>46369</v>
      </c>
    </row>
    <row r="7" spans="2:9" s="1" customFormat="1" ht="15" customHeight="1" x14ac:dyDescent="0.45">
      <c r="C7" s="9" t="str">
        <f>IF(WEEKDAY(日历日)=WeekStartValue,CONCATENATE("第 ",WEEKNUM(日历日)," 周/第 ",日历日-DATE(YEAR(日历日),1,0)," 天"),CONCATENATE("第 ",日历日-DATE(YEAR(日历日),1,0)," 天"))</f>
        <v>第 341 天</v>
      </c>
      <c r="D7" s="10" t="str">
        <f>IF(WEEKDAY(日历日)=WeekStartValue,CONCATENATE("第 ",WEEKNUM(日历日)," 周/第 ",日历日-DATE(YEAR(日历日),1,0)," 天"),CONCATENATE("第 ",日历日-DATE(YEAR(日历日),1,0)," 天"))</f>
        <v>第 342 天</v>
      </c>
      <c r="E7" s="9" t="str">
        <f>IF(WEEKDAY(日历日)=WeekStartValue,CONCATENATE("第 ",WEEKNUM(日历日)," 周/第 ",日历日-DATE(YEAR(日历日),1,0)," 天"),CONCATENATE("第 ",日历日-DATE(YEAR(日历日),1,0)," 天"))</f>
        <v>第 343 天</v>
      </c>
      <c r="F7" s="10" t="str">
        <f>IF(WEEKDAY(日历日)=WeekStartValue,CONCATENATE("第 ",WEEKNUM(日历日)," 周/第 ",日历日-DATE(YEAR(日历日),1,0)," 天"),CONCATENATE("第 ",日历日-DATE(YEAR(日历日),1,0)," 天"))</f>
        <v>第 344 天</v>
      </c>
      <c r="G7" s="9" t="str">
        <f>IF(WEEKDAY(日历日)=WeekStartValue,CONCATENATE("第 ",WEEKNUM(日历日)," 周/第 ",日历日-DATE(YEAR(日历日),1,0)," 天"),CONCATENATE("第 ",日历日-DATE(YEAR(日历日),1,0)," 天"))</f>
        <v>第 345 天</v>
      </c>
      <c r="H7" s="10" t="str">
        <f>IF(WEEKDAY(日历日)=WeekStartValue,CONCATENATE("第 ",WEEKNUM(日历日)," 周/第 ",日历日-DATE(YEAR(日历日),1,0)," 天"),CONCATENATE("第 ",日历日-DATE(YEAR(日历日),1,0)," 天"))</f>
        <v>第 346 天</v>
      </c>
      <c r="I7" s="9" t="str">
        <f>IF(WEEKDAY(日历日)=WeekStartValue,CONCATENATE("第 ",WEEKNUM(日历日)," 周/第 ",日历日-DATE(YEAR(日历日),1,0)," 天"),CONCATENATE("第 ",日历日-DATE(YEAR(日历日),1,0)," 天"))</f>
        <v>第 51 周/第 347 天</v>
      </c>
    </row>
    <row r="8" spans="2:9" s="1" customFormat="1" ht="56.25" customHeight="1" x14ac:dyDescent="0.3">
      <c r="C8" s="11"/>
      <c r="E8" s="11"/>
      <c r="G8" s="11"/>
      <c r="I8" s="11"/>
    </row>
    <row r="9" spans="2:9" s="1" customFormat="1" ht="16.5" customHeight="1" x14ac:dyDescent="0.45">
      <c r="C9" s="6">
        <f t="array" ref="C9:I9">星期日期和周+DATE(日历年,12,1)-WEEKDAY(DATE(日历年,12,1),(周开始日期="一")+1)+15</f>
        <v>46370</v>
      </c>
      <c r="D9" s="5">
        <v>46371</v>
      </c>
      <c r="E9" s="6">
        <v>46372</v>
      </c>
      <c r="F9" s="5">
        <v>46373</v>
      </c>
      <c r="G9" s="6">
        <v>46374</v>
      </c>
      <c r="H9" s="5">
        <v>46375</v>
      </c>
      <c r="I9" s="6">
        <v>46376</v>
      </c>
    </row>
    <row r="10" spans="2:9" s="1" customFormat="1" ht="15" customHeight="1" x14ac:dyDescent="0.45">
      <c r="C10" s="9" t="str">
        <f>IF(WEEKDAY(日历日)=WeekStartValue,CONCATENATE("第 ",WEEKNUM(日历日)," 周/第 ",日历日-DATE(YEAR(日历日),1,0)," 天"),CONCATENATE("第 ",日历日-DATE(YEAR(日历日),1,0)," 天"))</f>
        <v>第 348 天</v>
      </c>
      <c r="D10" s="10" t="str">
        <f>IF(WEEKDAY(日历日)=WeekStartValue,CONCATENATE("第 ",WEEKNUM(日历日)," 周/第 ",日历日-DATE(YEAR(日历日),1,0)," 天"),CONCATENATE("第 ",日历日-DATE(YEAR(日历日),1,0)," 天"))</f>
        <v>第 349 天</v>
      </c>
      <c r="E10" s="9" t="str">
        <f>IF(WEEKDAY(日历日)=WeekStartValue,CONCATENATE("第 ",WEEKNUM(日历日)," 周/第 ",日历日-DATE(YEAR(日历日),1,0)," 天"),CONCATENATE("第 ",日历日-DATE(YEAR(日历日),1,0)," 天"))</f>
        <v>第 350 天</v>
      </c>
      <c r="F10" s="10" t="str">
        <f>IF(WEEKDAY(日历日)=WeekStartValue,CONCATENATE("第 ",WEEKNUM(日历日)," 周/第 ",日历日-DATE(YEAR(日历日),1,0)," 天"),CONCATENATE("第 ",日历日-DATE(YEAR(日历日),1,0)," 天"))</f>
        <v>第 351 天</v>
      </c>
      <c r="G10" s="9" t="str">
        <f>IF(WEEKDAY(日历日)=WeekStartValue,CONCATENATE("第 ",WEEKNUM(日历日)," 周/第 ",日历日-DATE(YEAR(日历日),1,0)," 天"),CONCATENATE("第 ",日历日-DATE(YEAR(日历日),1,0)," 天"))</f>
        <v>第 352 天</v>
      </c>
      <c r="H10" s="10" t="str">
        <f>IF(WEEKDAY(日历日)=WeekStartValue,CONCATENATE("第 ",WEEKNUM(日历日)," 周/第 ",日历日-DATE(YEAR(日历日),1,0)," 天"),CONCATENATE("第 ",日历日-DATE(YEAR(日历日),1,0)," 天"))</f>
        <v>第 353 天</v>
      </c>
      <c r="I10" s="9" t="str">
        <f>IF(WEEKDAY(日历日)=WeekStartValue,CONCATENATE("第 ",WEEKNUM(日历日)," 周/第 ",日历日-DATE(YEAR(日历日),1,0)," 天"),CONCATENATE("第 ",日历日-DATE(YEAR(日历日),1,0)," 天"))</f>
        <v>第 52 周/第 354 天</v>
      </c>
    </row>
    <row r="11" spans="2:9" s="1" customFormat="1" ht="56.25" customHeight="1" x14ac:dyDescent="0.3">
      <c r="C11" s="11"/>
      <c r="E11" s="11"/>
      <c r="G11" s="11"/>
      <c r="I11" s="11"/>
    </row>
    <row r="12" spans="2:9" s="1" customFormat="1" ht="16.5" customHeight="1" x14ac:dyDescent="0.45">
      <c r="C12" s="6">
        <f t="array" ref="C12:I12">星期日期和周+DATE(日历年,12,1)-WEEKDAY(DATE(日历年,12,1),(周开始日期="一")+1)+22</f>
        <v>46377</v>
      </c>
      <c r="D12" s="5">
        <v>46378</v>
      </c>
      <c r="E12" s="6">
        <v>46379</v>
      </c>
      <c r="F12" s="5">
        <v>46380</v>
      </c>
      <c r="G12" s="6">
        <v>46381</v>
      </c>
      <c r="H12" s="5">
        <v>46382</v>
      </c>
      <c r="I12" s="6">
        <v>46383</v>
      </c>
    </row>
    <row r="13" spans="2:9" s="1" customFormat="1" ht="15" customHeight="1" x14ac:dyDescent="0.45">
      <c r="C13" s="9" t="str">
        <f>IF(WEEKDAY(日历日)=WeekStartValue,CONCATENATE("第 ",WEEKNUM(日历日)," 周/第 ",日历日-DATE(YEAR(日历日),1,0)," 天"),CONCATENATE("第 ",日历日-DATE(YEAR(日历日),1,0)," 天"))</f>
        <v>第 355 天</v>
      </c>
      <c r="D13" s="10" t="str">
        <f>IF(WEEKDAY(日历日)=WeekStartValue,CONCATENATE("第 ",WEEKNUM(日历日)," 周/第 ",日历日-DATE(YEAR(日历日),1,0)," 天"),CONCATENATE("第 ",日历日-DATE(YEAR(日历日),1,0)," 天"))</f>
        <v>第 356 天</v>
      </c>
      <c r="E13" s="9" t="str">
        <f>IF(WEEKDAY(日历日)=WeekStartValue,CONCATENATE("第 ",WEEKNUM(日历日)," 周/第 ",日历日-DATE(YEAR(日历日),1,0)," 天"),CONCATENATE("第 ",日历日-DATE(YEAR(日历日),1,0)," 天"))</f>
        <v>第 357 天</v>
      </c>
      <c r="F13" s="10" t="str">
        <f>IF(WEEKDAY(日历日)=WeekStartValue,CONCATENATE("第 ",WEEKNUM(日历日)," 周/第 ",日历日-DATE(YEAR(日历日),1,0)," 天"),CONCATENATE("第 ",日历日-DATE(YEAR(日历日),1,0)," 天"))</f>
        <v>第 358 天</v>
      </c>
      <c r="G13" s="9" t="str">
        <f>IF(WEEKDAY(日历日)=WeekStartValue,CONCATENATE("第 ",WEEKNUM(日历日)," 周/第 ",日历日-DATE(YEAR(日历日),1,0)," 天"),CONCATENATE("第 ",日历日-DATE(YEAR(日历日),1,0)," 天"))</f>
        <v>第 359 天</v>
      </c>
      <c r="H13" s="10" t="str">
        <f>IF(WEEKDAY(日历日)=WeekStartValue,CONCATENATE("第 ",WEEKNUM(日历日)," 周/第 ",日历日-DATE(YEAR(日历日),1,0)," 天"),CONCATENATE("第 ",日历日-DATE(YEAR(日历日),1,0)," 天"))</f>
        <v>第 360 天</v>
      </c>
      <c r="I13" s="9" t="str">
        <f>IF(WEEKDAY(日历日)=WeekStartValue,CONCATENATE("第 ",WEEKNUM(日历日)," 周/第 ",日历日-DATE(YEAR(日历日),1,0)," 天"),CONCATENATE("第 ",日历日-DATE(YEAR(日历日),1,0)," 天"))</f>
        <v>第 53 周/第 361 天</v>
      </c>
    </row>
    <row r="14" spans="2:9" s="1" customFormat="1" ht="56.25" customHeight="1" x14ac:dyDescent="0.3">
      <c r="C14" s="11"/>
      <c r="E14" s="11"/>
      <c r="G14" s="11"/>
      <c r="I14" s="11"/>
    </row>
    <row r="15" spans="2:9" s="1" customFormat="1" ht="16.5" customHeight="1" x14ac:dyDescent="0.45">
      <c r="C15" s="6">
        <f t="array" ref="C15:I15">星期日期和周+DATE(日历年,12,1)-WEEKDAY(DATE(日历年,12,1),(周开始日期="一")+1)+29</f>
        <v>46384</v>
      </c>
      <c r="D15" s="5">
        <v>46385</v>
      </c>
      <c r="E15" s="6">
        <v>46386</v>
      </c>
      <c r="F15" s="5">
        <v>46387</v>
      </c>
      <c r="G15" s="6">
        <v>46388</v>
      </c>
      <c r="H15" s="5">
        <v>46389</v>
      </c>
      <c r="I15" s="6">
        <v>46390</v>
      </c>
    </row>
    <row r="16" spans="2:9" s="1" customFormat="1" ht="15" customHeight="1" x14ac:dyDescent="0.45">
      <c r="C16" s="9" t="str">
        <f>IF(WEEKDAY(日历日)=WeekStartValue,CONCATENATE("第 ",WEEKNUM(日历日)," 周/第 ",日历日-DATE(YEAR(日历日),1,0)," 天"),CONCATENATE("第 ",日历日-DATE(YEAR(日历日),1,0)," 天"))</f>
        <v>第 362 天</v>
      </c>
      <c r="D16" s="10" t="str">
        <f>IF(WEEKDAY(日历日)=WeekStartValue,CONCATENATE("第 ",WEEKNUM(日历日)," 周/第 ",日历日-DATE(YEAR(日历日),1,0)," 天"),CONCATENATE("第 ",日历日-DATE(YEAR(日历日),1,0)," 天"))</f>
        <v>第 363 天</v>
      </c>
      <c r="E16" s="9" t="str">
        <f>IF(WEEKDAY(日历日)=WeekStartValue,CONCATENATE("第 ",WEEKNUM(日历日)," 周/第 ",日历日-DATE(YEAR(日历日),1,0)," 天"),CONCATENATE("第 ",日历日-DATE(YEAR(日历日),1,0)," 天"))</f>
        <v>第 364 天</v>
      </c>
      <c r="F16" s="10" t="str">
        <f>IF(WEEKDAY(日历日)=WeekStartValue,CONCATENATE("第 ",WEEKNUM(日历日)," 周/第 ",日历日-DATE(YEAR(日历日),1,0)," 天"),CONCATENATE("第 ",日历日-DATE(YEAR(日历日),1,0)," 天"))</f>
        <v>第 365 天</v>
      </c>
      <c r="G16" s="9" t="str">
        <f>IF(WEEKDAY(日历日)=WeekStartValue,CONCATENATE("第 ",WEEKNUM(日历日)," 周/第 ",日历日-DATE(YEAR(日历日),1,0)," 天"),CONCATENATE("第 ",日历日-DATE(YEAR(日历日),1,0)," 天"))</f>
        <v>第 1 天</v>
      </c>
      <c r="H16" s="10" t="str">
        <f>IF(WEEKDAY(日历日)=WeekStartValue,CONCATENATE("第 ",WEEKNUM(日历日)," 周/第 ",日历日-DATE(YEAR(日历日),1,0)," 天"),CONCATENATE("第 ",日历日-DATE(YEAR(日历日),1,0)," 天"))</f>
        <v>第 2 天</v>
      </c>
      <c r="I16" s="9" t="str">
        <f>IF(WEEKDAY(日历日)=WeekStartValue,CONCATENATE("第 ",WEEKNUM(日历日)," 周/第 ",日历日-DATE(YEAR(日历日),1,0)," 天"),CONCATENATE("第 ",日历日-DATE(YEAR(日历日),1,0)," 天"))</f>
        <v>第 2 周/第 3 天</v>
      </c>
    </row>
    <row r="17" spans="3:9" s="1" customFormat="1" ht="15" customHeight="1" x14ac:dyDescent="0.45">
      <c r="C17" s="7"/>
      <c r="E17" s="8" t="s">
        <v>0</v>
      </c>
    </row>
    <row r="18" spans="3:9" s="1" customFormat="1" ht="41.25" customHeight="1" x14ac:dyDescent="0.3">
      <c r="C18" s="7"/>
      <c r="E18" s="2"/>
      <c r="F18" s="2"/>
      <c r="G18" s="2"/>
      <c r="H18" s="2"/>
      <c r="I18" s="2"/>
    </row>
    <row r="19" spans="3:9" s="1" customFormat="1" ht="16.5" customHeight="1" x14ac:dyDescent="0.45">
      <c r="C19" s="6">
        <f t="array" ref="C19:D19">星期日期和周+DATE(日历年,12,1)-WEEKDAY(DATE(日历年,12,1),(周开始日期="一")+1)+36</f>
        <v>46391</v>
      </c>
      <c r="D19" s="5">
        <v>46392</v>
      </c>
      <c r="E19" s="2"/>
      <c r="F19" s="2"/>
      <c r="G19" s="2"/>
      <c r="H19" s="2"/>
      <c r="I19" s="2"/>
    </row>
    <row r="20" spans="3:9" s="1" customFormat="1" ht="15" customHeight="1" x14ac:dyDescent="0.45">
      <c r="C20" s="4" t="str">
        <f>IF(WEEKDAY(日历日)=WeekStartValue,CONCATENATE("第 ",WEEKNUM(日历日)," 周/第 ",日历日-DATE(YEAR(日历日),1,0)," 天"),CONCATENATE("第 ",日历日-DATE(YEAR(日历日),1,0)," 天"))</f>
        <v>第 4 天</v>
      </c>
      <c r="D20" s="3" t="str">
        <f>IF(WEEKDAY(日历日)=WeekStartValue,CONCATENATE("第 ",WEEKNUM(日历日)," 周/第 ",日历日-DATE(YEAR(日历日),1,0)," 天"),CONCATENATE("第 ",日历日-DATE(YEAR(日历日),1,0)," 天"))</f>
        <v>第 5 天</v>
      </c>
      <c r="E20" s="2"/>
      <c r="F20" s="2"/>
      <c r="G20" s="2"/>
      <c r="H20" s="2"/>
      <c r="I20" s="2"/>
    </row>
  </sheetData>
  <mergeCells count="2">
    <mergeCell ref="E18:I20"/>
    <mergeCell ref="C17:C18"/>
  </mergeCells>
  <phoneticPr fontId="2" type="noConversion"/>
  <conditionalFormatting sqref="C3:H3">
    <cfRule type="expression" dxfId="3" priority="1">
      <formula>DAY(C3)&gt;8</formula>
    </cfRule>
  </conditionalFormatting>
  <conditionalFormatting sqref="C4:I4">
    <cfRule type="expression" dxfId="2" priority="3">
      <formula>DAY(C3)&gt;8</formula>
    </cfRule>
  </conditionalFormatting>
  <conditionalFormatting sqref="C15:I15 C19:D19">
    <cfRule type="expression" dxfId="1" priority="2">
      <formula>AND(DAY(C15)&gt;=1,DAY(C15)&lt;=15)</formula>
    </cfRule>
  </conditionalFormatting>
  <conditionalFormatting sqref="C16:I16 C17:D17 F17:I17 C20:D20">
    <cfRule type="expression" dxfId="0" priority="4">
      <formula>AND(DAY(C15)&gt;=1,DAY(C15)&lt;=15)</formula>
    </cfRule>
  </conditionalFormatting>
  <dataValidations count="9">
    <dataValidation allowBlank="1" showInputMessage="1" showErrorMessage="1" prompt="在此单元格中输入备注" sqref="E18:I20" xr:uid="{00000000-0002-0000-0B00-000008000000}"/>
    <dataValidation allowBlank="1" showInputMessage="1" showErrorMessage="1" prompt="在下方单元格中输入备注" sqref="E17" xr:uid="{00000000-0002-0000-0B00-000007000000}"/>
    <dataValidation allowBlank="1" showInputMessage="1" showErrorMessage="1" prompt="自动更新本行以及第 7、10、13、16 和 20 行的周和/或日" sqref="C4" xr:uid="{00000000-0002-0000-0B00-000006000000}"/>
    <dataValidation allowBlank="1" showInputMessage="1" showErrorMessage="1" prompt="自动更新本行以及第 6、9、12、15、19 行中的日历日。若此单元格不包含数字 1，则为上个月的某个日期" sqref="C3" xr:uid="{00000000-0002-0000-0B00-000005000000}"/>
    <dataValidation allowBlank="1" showInputMessage="1" showErrorMessage="1" prompt="在 C 至 I 列的本行以及第 5、8、11、14、17 行的下方单元格中按照日历日输入每日备注" sqref="C2" xr:uid="{00000000-0002-0000-0B00-000004000000}"/>
    <dataValidation allowBlank="1" showInputMessage="1" showErrorMessage="1" prompt="此行包含此日历一星期中各日名称。此单元格为一周的开始之日。若要更改开始日期，请在“一月”工作表的单元格 C1 中另行选择" sqref="C1" xr:uid="{00000000-0002-0000-0B00-000003000000}"/>
    <dataValidation allowBlank="1" showInputMessage="1" showErrorMessage="1" prompt="此单元格中的年份基于“一月”工作表中输入的年份自动更新。" sqref="B2" xr:uid="{00000000-0002-0000-0B00-000002000000}"/>
    <dataValidation allowBlank="1" showInputMessage="1" showErrorMessage="1" prompt="工作表的月份位于此单元格中。日历从右侧单元格开始，包含上月、当月和下月的日期年份位于下方单元格中在单元格 E18 中输入每月备注" sqref="B1" xr:uid="{00000000-0002-0000-0B00-000001000000}"/>
    <dataValidation allowBlank="1" showInputMessage="1" showErrorMessage="1" prompt="十二月日历" sqref="A1" xr:uid="{00000000-0002-0000-0B00-000000000000}"/>
  </dataValidations>
  <printOptions horizontalCentered="1" verticalCentered="1"/>
  <pageMargins left="0.25" right="0.25" top="0.75" bottom="0.75" header="0.3" footer="0.3"/>
  <pageSetup paperSize="9" scale="88" orientation="landscape" r:id="rId1"/>
  <headerFooter differentFirst="1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12月</vt:lpstr>
      <vt:lpstr>Sheet1</vt:lpstr>
      <vt:lpstr>ColumnTitleRegion1..J16.12</vt:lpstr>
      <vt:lpstr>ColumnTitleRegion2..E20.12</vt:lpstr>
      <vt:lpstr>'12月'!日历日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lndlong</dc:creator>
  <cp:lastModifiedBy>Sam Liu</cp:lastModifiedBy>
  <dcterms:created xsi:type="dcterms:W3CDTF">2015-06-05T18:17:20Z</dcterms:created>
  <dcterms:modified xsi:type="dcterms:W3CDTF">2025-12-27T13:52:08Z</dcterms:modified>
</cp:coreProperties>
</file>