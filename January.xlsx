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71318687-2ADA-4F42-869C-A977996AFE7C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1月" sheetId="2" r:id="rId1"/>
    <sheet name="Sheet3" sheetId="3" r:id="rId2"/>
  </sheets>
  <externalReferences>
    <externalReference r:id="rId3"/>
  </externalReferences>
  <definedNames>
    <definedName name="ColumnTitleRegion1..J16.1">'1月'!$B$1</definedName>
    <definedName name="ColumnTitleRegion2..E20.1">'1月'!$B$1</definedName>
    <definedName name="WeekStartValue">IF(周开始日期="周一",2,1)</definedName>
    <definedName name="当月开始日期">#REF!</definedName>
    <definedName name="开始日期">[1]周日程规划表!$V$4</definedName>
    <definedName name="日历年">'1月'!$A$2</definedName>
    <definedName name="日历日" localSheetId="0">'1月'!A1048576</definedName>
    <definedName name="星期日期和周">{0,1,2,3,4,5,6} + {0;1;2;3;4;5}*7</definedName>
    <definedName name="周开始日期">'1月'!$B$1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 a="1"/>
  <c r="B6" i="2" a="1"/>
  <c r="D6" i="2" s="1"/>
  <c r="D7" i="2" s="1"/>
  <c r="B8" i="2" a="1"/>
  <c r="E8" i="2" s="1"/>
  <c r="E9" i="2" s="1"/>
  <c r="B10" i="2" l="1" a="1"/>
  <c r="E10" i="2" s="1"/>
  <c r="E11" i="2" s="1"/>
  <c r="B4" i="2" a="1"/>
  <c r="H4" i="2" s="1"/>
  <c r="H5" i="2" s="1"/>
  <c r="D8" i="2"/>
  <c r="D9" i="2" s="1"/>
  <c r="B8" i="2"/>
  <c r="B9" i="2" s="1"/>
  <c r="B2" i="2" a="1"/>
  <c r="D2" i="2" s="1"/>
  <c r="B12" i="2"/>
  <c r="B13" i="2" s="1"/>
  <c r="C12" i="2"/>
  <c r="C13" i="2" s="1"/>
  <c r="C6" i="2"/>
  <c r="C7" i="2" s="1"/>
  <c r="C8" i="2"/>
  <c r="C9" i="2" s="1"/>
  <c r="B6" i="2"/>
  <c r="B7" i="2" s="1"/>
  <c r="H6" i="2"/>
  <c r="H7" i="2" s="1"/>
  <c r="H8" i="2"/>
  <c r="H9" i="2" s="1"/>
  <c r="G6" i="2"/>
  <c r="G7" i="2" s="1"/>
  <c r="G8" i="2"/>
  <c r="G9" i="2" s="1"/>
  <c r="F6" i="2"/>
  <c r="F7" i="2" s="1"/>
  <c r="F8" i="2"/>
  <c r="F9" i="2" s="1"/>
  <c r="E6" i="2"/>
  <c r="E7" i="2" s="1"/>
  <c r="D10" i="2" l="1"/>
  <c r="D11" i="2" s="1"/>
  <c r="C10" i="2"/>
  <c r="C11" i="2" s="1"/>
  <c r="D4" i="2"/>
  <c r="D5" i="2" s="1"/>
  <c r="C2" i="2"/>
  <c r="C1" i="2" s="1"/>
  <c r="F2" i="2"/>
  <c r="F1" i="2" s="1"/>
  <c r="E4" i="2"/>
  <c r="E5" i="2" s="1"/>
  <c r="E2" i="2"/>
  <c r="E1" i="2" s="1"/>
  <c r="G10" i="2"/>
  <c r="G11" i="2" s="1"/>
  <c r="G4" i="2"/>
  <c r="G5" i="2" s="1"/>
  <c r="F4" i="2"/>
  <c r="F5" i="2" s="1"/>
  <c r="B2" i="2"/>
  <c r="B3" i="2" s="1"/>
  <c r="G2" i="2"/>
  <c r="H2" i="2"/>
  <c r="H3" i="2" s="1"/>
  <c r="H10" i="2"/>
  <c r="H11" i="2" s="1"/>
  <c r="C4" i="2"/>
  <c r="C5" i="2" s="1"/>
  <c r="B4" i="2"/>
  <c r="B5" i="2" s="1"/>
  <c r="F10" i="2"/>
  <c r="F11" i="2" s="1"/>
  <c r="B10" i="2"/>
  <c r="B11" i="2" s="1"/>
  <c r="D1" i="2"/>
  <c r="D3" i="2"/>
  <c r="H1" i="2"/>
  <c r="F3" i="2" l="1"/>
  <c r="E3" i="2"/>
  <c r="C3" i="2"/>
  <c r="G1" i="2"/>
  <c r="G3" i="2"/>
</calcChain>
</file>

<file path=xl/sharedStrings.xml><?xml version="1.0" encoding="utf-8"?>
<sst xmlns="http://schemas.openxmlformats.org/spreadsheetml/2006/main" count="2" uniqueCount="2">
  <si>
    <t>1 月</t>
  </si>
  <si>
    <t>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</si>
</sst>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4" tint="-0.499984740745262"/>
      <name val="Microsoft YaHei UI"/>
      <family val="2"/>
      <charset val="134"/>
    </font>
    <font>
      <sz val="11"/>
      <color theme="4" tint="-0.24994659260841701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  <font>
      <sz val="18"/>
      <color theme="4" tint="-0.499984740745262"/>
      <name val="Microsoft YaHei UI"/>
      <family val="2"/>
      <charset val="134"/>
    </font>
    <font>
      <b/>
      <sz val="9"/>
      <color theme="4" tint="-0.499984740745262"/>
      <name val="Microsoft YaHei UI"/>
      <family val="2"/>
      <charset val="134"/>
    </font>
    <font>
      <sz val="9"/>
      <color theme="4" tint="-0.499984740745262"/>
      <name val="Microsoft YaHei UI"/>
      <family val="2"/>
      <charset val="134"/>
    </font>
    <font>
      <b/>
      <sz val="14"/>
      <color theme="4" tint="-0.24994659260841701"/>
      <name val="Microsoft YaHei UI"/>
      <family val="2"/>
      <charset val="134"/>
    </font>
    <font>
      <sz val="14"/>
      <color theme="4" tint="-0.499984740745262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2" fillId="0" borderId="0">
      <alignment horizontal="left" vertical="center" wrapText="1" indent="1"/>
    </xf>
    <xf numFmtId="0" fontId="2" fillId="0" borderId="1">
      <alignment horizontal="left" vertical="center" wrapText="1"/>
    </xf>
    <xf numFmtId="0" fontId="2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4" fillId="0" borderId="2">
      <alignment horizontal="left" indent="1"/>
    </xf>
    <xf numFmtId="0" fontId="5" fillId="0" borderId="0">
      <alignment horizontal="left" vertical="top" indent="1"/>
    </xf>
    <xf numFmtId="0" fontId="6" fillId="0" borderId="0">
      <alignment horizontal="right"/>
    </xf>
    <xf numFmtId="0" fontId="7" fillId="0" borderId="0">
      <alignment horizontal="left"/>
    </xf>
  </cellStyleXfs>
  <cellXfs count="14">
    <xf numFmtId="0" fontId="0" fillId="0" borderId="0" xfId="0"/>
    <xf numFmtId="0" fontId="2" fillId="0" borderId="0" xfId="1">
      <alignment horizontal="left" vertical="center" wrapText="1" indent="1"/>
    </xf>
    <xf numFmtId="0" fontId="8" fillId="0" borderId="0" xfId="1" applyFont="1">
      <alignment horizontal="left" vertical="center" wrapText="1" indent="1"/>
    </xf>
    <xf numFmtId="0" fontId="9" fillId="0" borderId="0" xfId="8" applyFont="1">
      <alignment horizontal="right"/>
    </xf>
    <xf numFmtId="0" fontId="10" fillId="0" borderId="0" xfId="1" applyFont="1">
      <alignment horizontal="left" vertical="center" wrapText="1" indent="1"/>
    </xf>
    <xf numFmtId="176" fontId="9" fillId="2" borderId="0" xfId="4" applyFont="1" applyFill="1">
      <alignment horizontal="right"/>
    </xf>
    <xf numFmtId="176" fontId="9" fillId="0" borderId="0" xfId="4" applyFont="1">
      <alignment horizontal="right"/>
    </xf>
    <xf numFmtId="0" fontId="10" fillId="2" borderId="3" xfId="3" applyFont="1" applyFill="1" applyBorder="1">
      <alignment horizontal="right"/>
    </xf>
    <xf numFmtId="0" fontId="10" fillId="0" borderId="3" xfId="3" applyFont="1" applyBorder="1">
      <alignment horizontal="right"/>
    </xf>
    <xf numFmtId="0" fontId="10" fillId="0" borderId="1" xfId="2" applyFont="1">
      <alignment horizontal="left" vertical="center" wrapText="1"/>
    </xf>
    <xf numFmtId="0" fontId="10" fillId="2" borderId="0" xfId="3" applyFont="1" applyFill="1">
      <alignment horizontal="right"/>
    </xf>
    <xf numFmtId="0" fontId="10" fillId="0" borderId="0" xfId="3" applyFont="1">
      <alignment horizontal="right"/>
    </xf>
    <xf numFmtId="0" fontId="11" fillId="0" borderId="0" xfId="9" applyFont="1" applyAlignment="1">
      <alignment horizontal="center" vertical="center"/>
    </xf>
    <xf numFmtId="0" fontId="12" fillId="0" borderId="0" xfId="1" applyFont="1">
      <alignment horizontal="left" vertical="center" wrapText="1" indent="1"/>
    </xf>
  </cellXfs>
  <cellStyles count="10">
    <cellStyle name="备注" xfId="6" xr:uid="{CF90AE33-364B-464A-82B1-D37F04E56B1E}"/>
    <cellStyle name="标题 1 2" xfId="7" xr:uid="{84986BE9-4043-47E2-B8B2-F3B0B829A27B}"/>
    <cellStyle name="标题 2 2" xfId="8" xr:uid="{D9B35D49-2AA6-41C5-A2ED-D5EC05CDAF50}"/>
    <cellStyle name="标题 4 2" xfId="3" xr:uid="{9592E56E-8000-4E3F-87E8-952E6C070420}"/>
    <cellStyle name="标题 5" xfId="9" xr:uid="{BFDDA835-35EE-46F7-B330-05DBC550E46D}"/>
    <cellStyle name="常规" xfId="0" builtinId="0"/>
    <cellStyle name="常规 2" xfId="1" xr:uid="{73617BBE-351F-4D53-A780-564CA86686C1}"/>
    <cellStyle name="解释性文本 2" xfId="2" xr:uid="{DAB121C0-7113-4289-BC33-628A58172C14}"/>
    <cellStyle name="日" xfId="4" xr:uid="{7D0BD34A-EF62-4C01-B1D7-14C4F3E55F73}"/>
    <cellStyle name="填充" xfId="5" xr:uid="{076C9075-6B00-40CA-A89E-601D090D5F26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218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1608;&#26085;&#31243;&#35268;&#21010;&#3492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周日程规划表"/>
    </sheetNames>
    <sheetDataSet>
      <sheetData sheetId="0">
        <row r="4">
          <cell r="V4">
            <v>46013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DE9A-DD0C-428B-BD43-3182AF069EF5}">
  <sheetPr>
    <tabColor theme="4" tint="-0.499984740745262"/>
    <pageSetUpPr fitToPage="1"/>
  </sheetPr>
  <dimension ref="A1:H13"/>
  <sheetViews>
    <sheetView showGridLines="0" tabSelected="1" zoomScale="130" zoomScaleNormal="130" workbookViewId="0">
      <pane xSplit="8" topLeftCell="I1" activePane="topRight" state="frozen"/>
      <selection pane="topRight" activeCell="I1" sqref="I1"/>
    </sheetView>
  </sheetViews>
  <sheetFormatPr defaultColWidth="9.58203125" defaultRowHeight="15" customHeight="1" x14ac:dyDescent="0.3"/>
  <cols>
    <col min="1" max="1" width="10.9140625" style="2" customWidth="1"/>
    <col min="2" max="8" width="8.58203125" style="4" customWidth="1"/>
    <col min="9" max="39" width="10.58203125" style="1" customWidth="1"/>
    <col min="40" max="16384" width="9.58203125" style="1"/>
  </cols>
  <sheetData>
    <row r="1" spans="1:8" ht="15" customHeight="1" x14ac:dyDescent="0.4">
      <c r="A1" s="12" t="s">
        <v>0</v>
      </c>
      <c r="B1" s="3" t="s">
        <v>1</v>
      </c>
      <c r="C1" s="3" t="str">
        <f t="shared" ref="C1:H1" si="0">UPPER(TEXT(C2,"aaa"))</f>
        <v>二</v>
      </c>
      <c r="D1" s="3" t="str">
        <f t="shared" si="0"/>
        <v>三</v>
      </c>
      <c r="E1" s="3" t="str">
        <f t="shared" si="0"/>
        <v>四</v>
      </c>
      <c r="F1" s="3" t="str">
        <f t="shared" si="0"/>
        <v>五</v>
      </c>
      <c r="G1" s="3" t="str">
        <f t="shared" si="0"/>
        <v>六</v>
      </c>
      <c r="H1" s="3" t="str">
        <f t="shared" si="0"/>
        <v>日</v>
      </c>
    </row>
    <row r="2" spans="1:8" ht="16.5" customHeight="1" x14ac:dyDescent="0.4">
      <c r="A2" s="13">
        <v>2026</v>
      </c>
      <c r="B2" s="5">
        <f t="array" ref="B2:H2">星期日期和周+DATE(日历年,1,1)-WEEKDAY(DATE(日历年,1,1),(周开始日期="一")+1)+1</f>
        <v>46020</v>
      </c>
      <c r="C2" s="6">
        <v>46021</v>
      </c>
      <c r="D2" s="5">
        <v>46022</v>
      </c>
      <c r="E2" s="6">
        <v>46023</v>
      </c>
      <c r="F2" s="5">
        <v>46024</v>
      </c>
      <c r="G2" s="6">
        <v>46025</v>
      </c>
      <c r="H2" s="5">
        <v>46026</v>
      </c>
    </row>
    <row r="3" spans="1:8" ht="15" customHeight="1" x14ac:dyDescent="0.35">
      <c r="B3" s="7" t="str">
        <f t="shared" ref="B3:H3" si="1">IF(DAY(日历日)=1,CONCATENATE("第 ",WEEKNUM(日历日)," 周/第 ",日历日-DATE(YEAR(日历日),1,0)," 天"),CONCATENATE("第 ",日历日-DATE(YEAR(日历日),1,0)," 天"))</f>
        <v>第 363 天</v>
      </c>
      <c r="C3" s="8" t="str">
        <f t="shared" si="1"/>
        <v>第 364 天</v>
      </c>
      <c r="D3" s="7" t="str">
        <f t="shared" si="1"/>
        <v>第 365 天</v>
      </c>
      <c r="E3" s="8" t="str">
        <f t="shared" si="1"/>
        <v>第 1 周/第 1 天</v>
      </c>
      <c r="F3" s="7" t="str">
        <f t="shared" si="1"/>
        <v>第 2 天</v>
      </c>
      <c r="G3" s="8" t="str">
        <f t="shared" si="1"/>
        <v>第 3 天</v>
      </c>
      <c r="H3" s="7" t="str">
        <f t="shared" si="1"/>
        <v>第 4 天</v>
      </c>
    </row>
    <row r="4" spans="1:8" ht="15" customHeight="1" x14ac:dyDescent="0.4">
      <c r="B4" s="5">
        <f t="array" ref="B4:H4">星期日期和周+DATE(日历年,1,1)-WEEKDAY(DATE(日历年,1,1),(周开始日期="MON")+1)+8</f>
        <v>46026</v>
      </c>
      <c r="C4" s="6">
        <v>46027</v>
      </c>
      <c r="D4" s="5">
        <v>46028</v>
      </c>
      <c r="E4" s="6">
        <v>46029</v>
      </c>
      <c r="F4" s="5">
        <v>46030</v>
      </c>
      <c r="G4" s="6">
        <v>46031</v>
      </c>
      <c r="H4" s="5">
        <v>46032</v>
      </c>
    </row>
    <row r="5" spans="1:8" ht="15" customHeight="1" x14ac:dyDescent="0.35">
      <c r="B5" s="7" t="str">
        <f>IF(WEEKDAY(日历日)=WeekStartValue,CONCATENATE("第 ",WEEKNUM(日历日)," 周/第 ",日历日-DATE(YEAR(日历日),1,0)," 天"),CONCATENATE("第 ",日历日-DATE(YEAR(日历日),1,0)," 天"))</f>
        <v>第 2 周/第 4 天</v>
      </c>
      <c r="C5" s="8" t="str">
        <f>IF(WEEKDAY(日历日)=WeekStartValue,CONCATENATE("第 ",WEEKNUM(日历日)," 周/第 ",日历日-DATE(YEAR(日历日),1,0)," 天"),CONCATENATE("第 ",日历日-DATE(YEAR(日历日),1,0)," 天"))</f>
        <v>第 5 天</v>
      </c>
      <c r="D5" s="7" t="str">
        <f>IF(WEEKDAY(日历日)=WeekStartValue,CONCATENATE("第 ",WEEKNUM(日历日)," 周/第 ",日历日-DATE(YEAR(日历日),1,0)," 天"),CONCATENATE("第 ",日历日-DATE(YEAR(日历日),1,0)," 天"))</f>
        <v>第 6 天</v>
      </c>
      <c r="E5" s="8" t="str">
        <f>IF(WEEKDAY(日历日)=WeekStartValue,CONCATENATE("第 ",WEEKNUM(日历日)," 周/第 ",日历日-DATE(YEAR(日历日),1,0)," 天"),CONCATENATE("第 ",日历日-DATE(YEAR(日历日),1,0)," 天"))</f>
        <v>第 7 天</v>
      </c>
      <c r="F5" s="7" t="str">
        <f>IF(WEEKDAY(日历日)=WeekStartValue,CONCATENATE("第 ",WEEKNUM(日历日)," 周/第 ",日历日-DATE(YEAR(日历日),1,0)," 天"),CONCATENATE("第 ",日历日-DATE(YEAR(日历日),1,0)," 天"))</f>
        <v>第 8 天</v>
      </c>
      <c r="G5" s="8" t="str">
        <f>IF(WEEKDAY(日历日)=WeekStartValue,CONCATENATE("第 ",WEEKNUM(日历日)," 周/第 ",日历日-DATE(YEAR(日历日),1,0)," 天"),CONCATENATE("第 ",日历日-DATE(YEAR(日历日),1,0)," 天"))</f>
        <v>第 9 天</v>
      </c>
      <c r="H5" s="7" t="str">
        <f>IF(WEEKDAY(日历日)=WeekStartValue,CONCATENATE("第 ",WEEKNUM(日历日)," 周/第 ",日历日-DATE(YEAR(日历日),1,0)," 天"),CONCATENATE("第 ",日历日-DATE(YEAR(日历日),1,0)," 天"))</f>
        <v>第 10 天</v>
      </c>
    </row>
    <row r="6" spans="1:8" ht="15" customHeight="1" x14ac:dyDescent="0.4">
      <c r="B6" s="5">
        <f t="array" ref="B6:H6">星期日期和周+DATE(日历年,1,1)-WEEKDAY(DATE(日历年,1,1),(周开始日期="MON")+1)+15</f>
        <v>46033</v>
      </c>
      <c r="C6" s="6">
        <v>46034</v>
      </c>
      <c r="D6" s="5">
        <v>46035</v>
      </c>
      <c r="E6" s="6">
        <v>46036</v>
      </c>
      <c r="F6" s="5">
        <v>46037</v>
      </c>
      <c r="G6" s="6">
        <v>46038</v>
      </c>
      <c r="H6" s="5">
        <v>46039</v>
      </c>
    </row>
    <row r="7" spans="1:8" ht="15" customHeight="1" x14ac:dyDescent="0.35">
      <c r="B7" s="7" t="str">
        <f>IF(WEEKDAY(日历日)=WeekStartValue,CONCATENATE("第 ",WEEKNUM(日历日)," 周/第 ",日历日-DATE(YEAR(日历日),1,0)," 天"),CONCATENATE("第 ",日历日-DATE(YEAR(日历日),1,0)," 天"))</f>
        <v>第 3 周/第 11 天</v>
      </c>
      <c r="C7" s="8" t="str">
        <f>IF(WEEKDAY(日历日)=WeekStartValue,CONCATENATE("第 ",WEEKNUM(日历日)," 周/第 ",日历日-DATE(YEAR(日历日),1,0)," 天"),CONCATENATE("第 ",日历日-DATE(YEAR(日历日),1,0)," 天"))</f>
        <v>第 12 天</v>
      </c>
      <c r="D7" s="7" t="str">
        <f>IF(WEEKDAY(日历日)=WeekStartValue,CONCATENATE("第 ",WEEKNUM(日历日)," 周/第 ",日历日-DATE(YEAR(日历日),1,0)," 天"),CONCATENATE("第 ",日历日-DATE(YEAR(日历日),1,0)," 天"))</f>
        <v>第 13 天</v>
      </c>
      <c r="E7" s="8" t="str">
        <f>IF(WEEKDAY(日历日)=WeekStartValue,CONCATENATE("第 ",WEEKNUM(日历日)," 周/第 ",日历日-DATE(YEAR(日历日),1,0)," 天"),CONCATENATE("第 ",日历日-DATE(YEAR(日历日),1,0)," 天"))</f>
        <v>第 14 天</v>
      </c>
      <c r="F7" s="7" t="str">
        <f>IF(WEEKDAY(日历日)=WeekStartValue,CONCATENATE("第 ",WEEKNUM(日历日)," 周/第 ",日历日-DATE(YEAR(日历日),1,0)," 天"),CONCATENATE("第 ",日历日-DATE(YEAR(日历日),1,0)," 天"))</f>
        <v>第 15 天</v>
      </c>
      <c r="G7" s="8" t="str">
        <f>IF(WEEKDAY(日历日)=WeekStartValue,CONCATENATE("第 ",WEEKNUM(日历日)," 周/第 ",日历日-DATE(YEAR(日历日),1,0)," 天"),CONCATENATE("第 ",日历日-DATE(YEAR(日历日),1,0)," 天"))</f>
        <v>第 16 天</v>
      </c>
      <c r="H7" s="7" t="str">
        <f>IF(WEEKDAY(日历日)=WeekStartValue,CONCATENATE("第 ",WEEKNUM(日历日)," 周/第 ",日历日-DATE(YEAR(日历日),1,0)," 天"),CONCATENATE("第 ",日历日-DATE(YEAR(日历日),1,0)," 天"))</f>
        <v>第 17 天</v>
      </c>
    </row>
    <row r="8" spans="1:8" ht="15" customHeight="1" x14ac:dyDescent="0.4">
      <c r="B8" s="5">
        <f t="array" ref="B8:H8">星期日期和周+DATE(日历年,1,1)-WEEKDAY(DATE(日历年,1,1),(周开始日期="MON")+1)+22</f>
        <v>46040</v>
      </c>
      <c r="C8" s="6">
        <v>46041</v>
      </c>
      <c r="D8" s="5">
        <v>46042</v>
      </c>
      <c r="E8" s="6">
        <v>46043</v>
      </c>
      <c r="F8" s="5">
        <v>46044</v>
      </c>
      <c r="G8" s="6">
        <v>46045</v>
      </c>
      <c r="H8" s="5">
        <v>46046</v>
      </c>
    </row>
    <row r="9" spans="1:8" ht="15" customHeight="1" x14ac:dyDescent="0.35">
      <c r="B9" s="7" t="str">
        <f>IF(WEEKDAY(日历日)=WeekStartValue,CONCATENATE("第 ",WEEKNUM(日历日)," 周/第 ",日历日-DATE(YEAR(日历日),1,0)," 天"),CONCATENATE("第 ",日历日-DATE(YEAR(日历日),1,0)," 天"))</f>
        <v>第 4 周/第 18 天</v>
      </c>
      <c r="C9" s="8" t="str">
        <f>IF(WEEKDAY(日历日)=WeekStartValue,CONCATENATE("第 ",WEEKNUM(日历日)," 周/第 ",日历日-DATE(YEAR(日历日),1,0)," 天"),CONCATENATE("第 ",日历日-DATE(YEAR(日历日),1,0)," 天"))</f>
        <v>第 19 天</v>
      </c>
      <c r="D9" s="7" t="str">
        <f>IF(WEEKDAY(日历日)=WeekStartValue,CONCATENATE("第 ",WEEKNUM(日历日)," 周/第 ",日历日-DATE(YEAR(日历日),1,0)," 天"),CONCATENATE("第 ",日历日-DATE(YEAR(日历日),1,0)," 天"))</f>
        <v>第 20 天</v>
      </c>
      <c r="E9" s="8" t="str">
        <f>IF(WEEKDAY(日历日)=WeekStartValue,CONCATENATE("第 ",WEEKNUM(日历日)," 周/第 ",日历日-DATE(YEAR(日历日),1,0)," 天"),CONCATENATE("第 ",日历日-DATE(YEAR(日历日),1,0)," 天"))</f>
        <v>第 21 天</v>
      </c>
      <c r="F9" s="7" t="str">
        <f>IF(WEEKDAY(日历日)=WeekStartValue,CONCATENATE("第 ",WEEKNUM(日历日)," 周/第 ",日历日-DATE(YEAR(日历日),1,0)," 天"),CONCATENATE("第 ",日历日-DATE(YEAR(日历日),1,0)," 天"))</f>
        <v>第 22 天</v>
      </c>
      <c r="G9" s="8" t="str">
        <f>IF(WEEKDAY(日历日)=WeekStartValue,CONCATENATE("第 ",WEEKNUM(日历日)," 周/第 ",日历日-DATE(YEAR(日历日),1,0)," 天"),CONCATENATE("第 ",日历日-DATE(YEAR(日历日),1,0)," 天"))</f>
        <v>第 23 天</v>
      </c>
      <c r="H9" s="7" t="str">
        <f>IF(WEEKDAY(日历日)=WeekStartValue,CONCATENATE("第 ",WEEKNUM(日历日)," 周/第 ",日历日-DATE(YEAR(日历日),1,0)," 天"),CONCATENATE("第 ",日历日-DATE(YEAR(日历日),1,0)," 天"))</f>
        <v>第 24 天</v>
      </c>
    </row>
    <row r="10" spans="1:8" ht="15" customHeight="1" x14ac:dyDescent="0.4">
      <c r="B10" s="5">
        <f t="array" ref="B10:H10">星期日期和周+DATE(日历年,1,1)-WEEKDAY(DATE(日历年,1,1),(周开始日期="MON")+1)+29</f>
        <v>46047</v>
      </c>
      <c r="C10" s="6">
        <v>46048</v>
      </c>
      <c r="D10" s="5">
        <v>46049</v>
      </c>
      <c r="E10" s="6">
        <v>46050</v>
      </c>
      <c r="F10" s="5">
        <v>46051</v>
      </c>
      <c r="G10" s="6">
        <v>46052</v>
      </c>
      <c r="H10" s="5">
        <v>46053</v>
      </c>
    </row>
    <row r="11" spans="1:8" ht="15" customHeight="1" x14ac:dyDescent="0.35">
      <c r="B11" s="7" t="str">
        <f>IF(WEEKDAY(日历日)=WeekStartValue,CONCATENATE("第 ",WEEKNUM(日历日)," 周/第 ",日历日-DATE(YEAR(日历日),1,0)," 天"),CONCATENATE("第 ",日历日-DATE(YEAR(日历日),1,0)," 天"))</f>
        <v>第 5 周/第 25 天</v>
      </c>
      <c r="C11" s="8" t="str">
        <f>IF(WEEKDAY(日历日)=WeekStartValue,CONCATENATE("第 ",WEEKNUM(日历日)," 周/第 ",日历日-DATE(YEAR(日历日),1,0)," 天"),CONCATENATE("第 ",日历日-DATE(YEAR(日历日),1,0)," 天"))</f>
        <v>第 26 天</v>
      </c>
      <c r="D11" s="7" t="str">
        <f>IF(WEEKDAY(日历日)=WeekStartValue,CONCATENATE("第 ",WEEKNUM(日历日)," 周/第 ",日历日-DATE(YEAR(日历日),1,0)," 天"),CONCATENATE("第 ",日历日-DATE(YEAR(日历日),1,0)," 天"))</f>
        <v>第 27 天</v>
      </c>
      <c r="E11" s="8" t="str">
        <f>IF(WEEKDAY(日历日)=WeekStartValue,CONCATENATE("第 ",WEEKNUM(日历日)," 周/第 ",日历日-DATE(YEAR(日历日),1,0)," 天"),CONCATENATE("第 ",日历日-DATE(YEAR(日历日),1,0)," 天"))</f>
        <v>第 28 天</v>
      </c>
      <c r="F11" s="7" t="str">
        <f>IF(WEEKDAY(日历日)=WeekStartValue,CONCATENATE("第 ",WEEKNUM(日历日)," 周/第 ",日历日-DATE(YEAR(日历日),1,0)," 天"),CONCATENATE("第 ",日历日-DATE(YEAR(日历日),1,0)," 天"))</f>
        <v>第 29 天</v>
      </c>
      <c r="G11" s="8" t="str">
        <f>IF(WEEKDAY(日历日)=WeekStartValue,CONCATENATE("第 ",WEEKNUM(日历日)," 周/第 ",日历日-DATE(YEAR(日历日),1,0)," 天"),CONCATENATE("第 ",日历日-DATE(YEAR(日历日),1,0)," 天"))</f>
        <v>第 30 天</v>
      </c>
      <c r="H11" s="7" t="str">
        <f>IF(WEEKDAY(日历日)=WeekStartValue,CONCATENATE("第 ",WEEKNUM(日历日)," 周/第 ",日历日-DATE(YEAR(日历日),1,0)," 天"),CONCATENATE("第 ",日历日-DATE(YEAR(日历日),1,0)," 天"))</f>
        <v>第 31 天</v>
      </c>
    </row>
    <row r="12" spans="1:8" ht="15" customHeight="1" x14ac:dyDescent="0.4">
      <c r="B12" s="5">
        <f t="array" ref="B12:C12">星期日期和周+DATE(日历年,1,1)-WEEKDAY(DATE(日历年,1,1),(周开始日期="MON")+1)+36</f>
        <v>46054</v>
      </c>
      <c r="C12" s="6">
        <v>46055</v>
      </c>
      <c r="D12" s="9"/>
      <c r="E12" s="9"/>
      <c r="F12" s="9"/>
      <c r="G12" s="9"/>
      <c r="H12" s="9"/>
    </row>
    <row r="13" spans="1:8" ht="15" customHeight="1" x14ac:dyDescent="0.35">
      <c r="B13" s="10" t="str">
        <f>IF(WEEKDAY(日历日)=WeekStartValue,CONCATENATE("第 ",WEEKNUM(日历日)," 周/第 ",日历日-DATE(YEAR(日历日),1,0)," 天"),CONCATENATE("第 ",日历日-DATE(YEAR(日历日),1,0)," 天"))</f>
        <v>第 6 周/第 32 天</v>
      </c>
      <c r="C13" s="11" t="str">
        <f>IF(WEEKDAY(日历日)=WeekStartValue,CONCATENATE("第 ",WEEKNUM(日历日)," 周/第 ",日历日-DATE(YEAR(日历日),1,0)," 天"),CONCATENATE("第 ",日历日-DATE(YEAR(日历日),1,0)," 天"))</f>
        <v>第 33 天</v>
      </c>
      <c r="D13" s="9"/>
      <c r="E13" s="9"/>
      <c r="F13" s="9"/>
      <c r="G13" s="9"/>
      <c r="H13" s="9"/>
    </row>
  </sheetData>
  <mergeCells count="1">
    <mergeCell ref="D12:H13"/>
  </mergeCells>
  <phoneticPr fontId="1" type="noConversion"/>
  <conditionalFormatting sqref="B2:G2">
    <cfRule type="expression" dxfId="3" priority="2">
      <formula>DAY(B2)&gt;8</formula>
    </cfRule>
  </conditionalFormatting>
  <conditionalFormatting sqref="B3:H3">
    <cfRule type="expression" dxfId="2" priority="1">
      <formula>DAY(B2)&gt;8</formula>
    </cfRule>
  </conditionalFormatting>
  <conditionalFormatting sqref="B10:H10 B12:C12">
    <cfRule type="expression" dxfId="1" priority="3">
      <formula>AND(DAY(B10)&gt;=1,DAY(B10)&lt;=15)</formula>
    </cfRule>
  </conditionalFormatting>
  <conditionalFormatting sqref="B11:H11 B13:C13">
    <cfRule type="expression" dxfId="0" priority="4">
      <formula>AND(DAY(B10)&gt;=1,DAY(B10)&lt;=15)</formula>
    </cfRule>
  </conditionalFormatting>
  <dataValidations count="6">
    <dataValidation allowBlank="1" showInputMessage="1" showErrorMessage="1" prompt="自动更新本行以及第 7、10、13、16 和 20 行的周和/或日" sqref="B3" xr:uid="{00000000-0002-0000-0000-000007000000}"/>
    <dataValidation allowBlank="1" showInputMessage="1" showErrorMessage="1" prompt="自动更新本行以及第 6、9、12、15、19 行中的日历日。若此单元格不包含数字 01，则为上个月的某个日期" sqref="B2" xr:uid="{00000000-0002-0000-0000-000005000000}"/>
    <dataValidation allowBlank="1" showInputMessage="1" showErrorMessage="1" prompt="根据单元格 C1 中输入的周开始日期自动确定此单元格和右侧单元格中的星期顺序" sqref="C1" xr:uid="{00000000-0002-0000-0000-000004000000}"/>
    <dataValidation allowBlank="1" showInputMessage="1" showErrorMessage="1" prompt="工作表的月份位于此单元格中。日历从右侧单元格开始，包含上月、当月和下月的日期在下方单元格中输入年份并在单元格 E18 中输入每月备注" sqref="A1" xr:uid="{00000000-0002-0000-0000-000003000000}"/>
    <dataValidation type="list" errorStyle="warning" allowBlank="1" showInputMessage="1" showErrorMessage="1" error="从列表中选择一个周开始日期。选择“取消”，按 Alt+向下键可出现选项，然后按向下键和 Enter 做出选择" prompt="在此单元格中选择一周开始之日。按 Alt+向下键可出现选项，然后按向下键和 Enter 做出选择" sqref="B1" xr:uid="{00000000-0002-0000-0000-000000000000}">
      <formula1>"日,一"</formula1>
    </dataValidation>
    <dataValidation allowBlank="1" showInputMessage="1" showErrorMessage="1" prompt="在此单元格中输入备注" sqref="D12:H13" xr:uid="{00000000-0002-0000-0000-000009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  <customProperties>
    <customPr name="SheetChang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C293B-4869-42CB-8C76-16BDE3FF9CF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5</vt:i4>
      </vt:variant>
    </vt:vector>
  </HeadingPairs>
  <TitlesOfParts>
    <vt:vector size="7" baseType="lpstr">
      <vt:lpstr>1月</vt:lpstr>
      <vt:lpstr>Sheet3</vt:lpstr>
      <vt:lpstr>ColumnTitleRegion1..J16.1</vt:lpstr>
      <vt:lpstr>ColumnTitleRegion2..E20.1</vt:lpstr>
      <vt:lpstr>日历年</vt:lpstr>
      <vt:lpstr>'1月'!日历日</vt:lpstr>
      <vt:lpstr>周开始日期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2025-12-27T14:57:51Z</dcterms:modified>
</cp:coreProperties>
</file>